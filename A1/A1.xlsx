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jju\Pictures\DVT-LAB\A1\"/>
    </mc:Choice>
  </mc:AlternateContent>
  <xr:revisionPtr revIDLastSave="0" documentId="13_ncr:1_{57DE9D22-8A64-4C76-AAF1-D58CA6323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E14" i="1"/>
  <c r="E16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<sst xmlns="http://schemas.openxmlformats.org/spreadsheetml/2006/main" count="30" uniqueCount="22">
  <si>
    <t>Sl.No</t>
  </si>
  <si>
    <t>Name</t>
  </si>
  <si>
    <t>DOB</t>
  </si>
  <si>
    <t>Gender</t>
  </si>
  <si>
    <t>Total Salary</t>
  </si>
  <si>
    <t>Arjun Rao</t>
  </si>
  <si>
    <t>Male</t>
  </si>
  <si>
    <t>Sneha Kulkarni</t>
  </si>
  <si>
    <t>Female</t>
  </si>
  <si>
    <t>Rohan Patil</t>
  </si>
  <si>
    <t>Harsha Shetty</t>
  </si>
  <si>
    <t>Deepa Pai</t>
  </si>
  <si>
    <t>Hari Hegde</t>
  </si>
  <si>
    <t>Divya Nayak</t>
  </si>
  <si>
    <t>Vikas Kumar</t>
  </si>
  <si>
    <t>Kavya Bhat</t>
  </si>
  <si>
    <t>Sudeep Jain</t>
  </si>
  <si>
    <t>Age</t>
  </si>
  <si>
    <t>Income Tax</t>
  </si>
  <si>
    <t>Female Employees Paying Tax</t>
  </si>
  <si>
    <t>Male Employees Tax Exempted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</si>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</sst>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;[Red]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/>
      <bottom style="thin">
        <color indexed="64"/>
      </bottom>
      <diagonal/>
    </border>
    <border>
      <left style="thin">
        <color theme="5"/>
      </left>
      <right style="thin">
        <color indexed="64"/>
      </right>
      <top/>
      <bottom style="thin">
        <color theme="5"/>
      </bottom>
      <diagonal/>
    </border>
    <border>
      <left/>
      <right style="thin">
        <color theme="5"/>
      </right>
      <top style="thin">
        <color indexed="64"/>
      </top>
      <bottom style="thin">
        <color theme="5"/>
      </bottom>
      <diagonal/>
    </border>
    <border>
      <left/>
      <right style="thin">
        <color theme="5"/>
      </right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 style="thin">
        <color indexed="64"/>
      </bottom>
      <diagonal/>
    </border>
    <border>
      <left/>
      <right style="thin">
        <color theme="5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indexed="64"/>
      </left>
      <right/>
      <top/>
      <bottom style="thin">
        <color theme="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0" borderId="4" xfId="0" applyFont="1" applyBorder="1"/>
    <xf numFmtId="168" fontId="0" fillId="0" borderId="4" xfId="0" applyNumberFormat="1" applyBorder="1"/>
    <xf numFmtId="168" fontId="0" fillId="0" borderId="5" xfId="0" applyNumberFormat="1" applyBorder="1"/>
    <xf numFmtId="0" fontId="0" fillId="0" borderId="6" xfId="0" applyBorder="1"/>
    <xf numFmtId="168" fontId="0" fillId="0" borderId="7" xfId="0" applyNumberFormat="1" applyBorder="1"/>
    <xf numFmtId="168" fontId="0" fillId="0" borderId="8" xfId="0" applyNumberFormat="1" applyBorder="1"/>
    <xf numFmtId="168" fontId="0" fillId="0" borderId="9" xfId="0" applyNumberFormat="1" applyBorder="1"/>
    <xf numFmtId="168" fontId="0" fillId="0" borderId="10" xfId="0" applyNumberFormat="1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8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8" fontId="0" fillId="0" borderId="2" xfId="0" applyNumberFormat="1" applyBorder="1"/>
    <xf numFmtId="168" fontId="0" fillId="0" borderId="3" xfId="0" applyNumberFormat="1" applyBorder="1"/>
    <xf numFmtId="0" fontId="1" fillId="0" borderId="3" xfId="0" applyFont="1" applyFill="1" applyBorder="1"/>
    <xf numFmtId="0" fontId="1" fillId="0" borderId="15" xfId="0" applyFont="1" applyFill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15" sqref="G15"/>
    </sheetView>
  </sheetViews>
  <sheetFormatPr defaultRowHeight="14.4" x14ac:dyDescent="0.3"/>
  <cols>
    <col min="1" max="1" width="5.44140625" bestFit="1" customWidth="1"/>
    <col min="2" max="2" width="16.5546875" customWidth="1"/>
    <col min="3" max="3" width="18.33203125" customWidth="1"/>
    <col min="4" max="4" width="10.88671875" customWidth="1"/>
    <col min="5" max="5" width="13.88671875" customWidth="1"/>
    <col min="7" max="7" width="10.664062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25" t="s">
        <v>17</v>
      </c>
      <c r="G1" s="25" t="s">
        <v>18</v>
      </c>
      <c r="H1" s="26" t="s">
        <v>21</v>
      </c>
    </row>
    <row r="2" spans="1:8" x14ac:dyDescent="0.3">
      <c r="A2" s="2">
        <v>1</v>
      </c>
      <c r="B2" s="2" t="s">
        <v>5</v>
      </c>
      <c r="C2" s="3">
        <v>32947</v>
      </c>
      <c r="D2" s="2" t="s">
        <v>6</v>
      </c>
      <c r="E2" s="6">
        <v>1200000</v>
      </c>
      <c r="F2" s="14">
        <f ca="1">DATEDIF(C2, TODAY(), "Y")</f>
        <v>35</v>
      </c>
      <c r="G2" s="13">
        <f>IF(E2&lt;=400000,0,
 IF(E2&lt;=800000,(E2-400000)*0.05,
 IF(E2&lt;=1200000,20000+(E2-800000)*0.1,
 IF(E2&lt;=1600000,60000+(E2-1200000)*0.15,
 IF(E2&lt;=2000000,120000+(E2-1600000)*0.2,
 IF(E2&lt;=2400000,200000+(E2-2000000)*0.25,
 300000+(E2-2400000)*0.3
))))))</f>
        <v>60000</v>
      </c>
      <c r="H2" s="11">
        <f>E2 - G2</f>
        <v>1140000</v>
      </c>
    </row>
    <row r="3" spans="1:8" x14ac:dyDescent="0.3">
      <c r="A3" s="2">
        <v>2</v>
      </c>
      <c r="B3" s="2" t="s">
        <v>7</v>
      </c>
      <c r="C3" s="3">
        <v>34980</v>
      </c>
      <c r="D3" s="2" t="s">
        <v>8</v>
      </c>
      <c r="E3" s="6">
        <v>540000</v>
      </c>
      <c r="F3" s="14">
        <f t="shared" ref="F3:F11" ca="1" si="0">DATEDIF(C3, TODAY(), "Y")</f>
        <v>30</v>
      </c>
      <c r="G3" s="13">
        <f t="shared" ref="G3:G11" si="1">IF(E3&lt;=400000,0,
 IF(E3&lt;=800000,(E3-400000)*0.05,
 IF(E3&lt;=1200000,20000+(E3-800000)*0.1,
 IF(E3&lt;=1600000,60000+(E3-1200000)*0.15,
 IF(E3&lt;=2000000,120000+(E3-1600000)*0.2,
 IF(E3&lt;=2400000,200000+(E3-2000000)*0.25,
 300000+(E3-2400000)*0.3
))))))</f>
        <v>7000</v>
      </c>
      <c r="H3" s="10">
        <f t="shared" ref="H3:H11" si="2">E3 - G3</f>
        <v>533000</v>
      </c>
    </row>
    <row r="4" spans="1:8" x14ac:dyDescent="0.3">
      <c r="A4" s="2">
        <v>3</v>
      </c>
      <c r="B4" s="2" t="s">
        <v>9</v>
      </c>
      <c r="C4" s="3">
        <v>32710</v>
      </c>
      <c r="D4" s="2" t="s">
        <v>6</v>
      </c>
      <c r="E4" s="6">
        <v>1850000</v>
      </c>
      <c r="F4" s="14">
        <f t="shared" ca="1" si="0"/>
        <v>36</v>
      </c>
      <c r="G4" s="13">
        <f t="shared" si="1"/>
        <v>170000</v>
      </c>
      <c r="H4" s="9">
        <f t="shared" si="2"/>
        <v>1680000</v>
      </c>
    </row>
    <row r="5" spans="1:8" x14ac:dyDescent="0.3">
      <c r="A5" s="2">
        <v>4</v>
      </c>
      <c r="B5" s="2" t="s">
        <v>10</v>
      </c>
      <c r="C5" s="3">
        <v>34284</v>
      </c>
      <c r="D5" s="2" t="s">
        <v>6</v>
      </c>
      <c r="E5" s="6">
        <v>400000</v>
      </c>
      <c r="F5" s="14">
        <f t="shared" ca="1" si="0"/>
        <v>32</v>
      </c>
      <c r="G5" s="13">
        <f t="shared" si="1"/>
        <v>0</v>
      </c>
      <c r="H5" s="7">
        <f t="shared" si="2"/>
        <v>400000</v>
      </c>
    </row>
    <row r="6" spans="1:8" x14ac:dyDescent="0.3">
      <c r="A6" s="2">
        <v>5</v>
      </c>
      <c r="B6" s="2" t="s">
        <v>11</v>
      </c>
      <c r="C6" s="3">
        <v>33455</v>
      </c>
      <c r="D6" s="2" t="s">
        <v>8</v>
      </c>
      <c r="E6" s="6">
        <v>2500000</v>
      </c>
      <c r="F6" s="15">
        <f t="shared" ca="1" si="0"/>
        <v>34</v>
      </c>
      <c r="G6" s="19">
        <f t="shared" si="1"/>
        <v>330000</v>
      </c>
      <c r="H6" s="9">
        <f t="shared" si="2"/>
        <v>2170000</v>
      </c>
    </row>
    <row r="7" spans="1:8" x14ac:dyDescent="0.3">
      <c r="A7" s="2">
        <v>6</v>
      </c>
      <c r="B7" s="2" t="s">
        <v>12</v>
      </c>
      <c r="C7" s="3">
        <v>35603</v>
      </c>
      <c r="D7" s="2" t="s">
        <v>6</v>
      </c>
      <c r="E7" s="6">
        <v>720000</v>
      </c>
      <c r="F7" s="16">
        <f t="shared" ca="1" si="0"/>
        <v>28</v>
      </c>
      <c r="G7" s="20">
        <f t="shared" si="1"/>
        <v>16000</v>
      </c>
      <c r="H7" s="7">
        <f t="shared" si="2"/>
        <v>704000</v>
      </c>
    </row>
    <row r="8" spans="1:8" x14ac:dyDescent="0.3">
      <c r="A8" s="2">
        <v>7</v>
      </c>
      <c r="B8" s="2" t="s">
        <v>13</v>
      </c>
      <c r="C8" s="3">
        <v>32918</v>
      </c>
      <c r="D8" s="2" t="s">
        <v>8</v>
      </c>
      <c r="E8" s="6">
        <v>900000</v>
      </c>
      <c r="F8" s="17">
        <f t="shared" ca="1" si="0"/>
        <v>35</v>
      </c>
      <c r="G8" s="21">
        <f t="shared" si="1"/>
        <v>30000</v>
      </c>
      <c r="H8" s="12">
        <f t="shared" si="2"/>
        <v>870000</v>
      </c>
    </row>
    <row r="9" spans="1:8" x14ac:dyDescent="0.3">
      <c r="A9" s="2">
        <v>8</v>
      </c>
      <c r="B9" s="2" t="s">
        <v>14</v>
      </c>
      <c r="C9" s="3">
        <v>34669</v>
      </c>
      <c r="D9" s="2" t="s">
        <v>6</v>
      </c>
      <c r="E9" s="6">
        <v>2250000</v>
      </c>
      <c r="F9" s="14">
        <f t="shared" ca="1" si="0"/>
        <v>31</v>
      </c>
      <c r="G9" s="13">
        <f t="shared" si="1"/>
        <v>262500</v>
      </c>
      <c r="H9" s="18">
        <f t="shared" si="2"/>
        <v>1987500</v>
      </c>
    </row>
    <row r="10" spans="1:8" x14ac:dyDescent="0.3">
      <c r="A10" s="2">
        <v>9</v>
      </c>
      <c r="B10" s="2" t="s">
        <v>15</v>
      </c>
      <c r="C10" s="3">
        <v>36050</v>
      </c>
      <c r="D10" s="2" t="s">
        <v>8</v>
      </c>
      <c r="E10" s="6">
        <v>320000</v>
      </c>
      <c r="F10" s="14">
        <f t="shared" ca="1" si="0"/>
        <v>27</v>
      </c>
      <c r="G10" s="13">
        <f t="shared" si="1"/>
        <v>0</v>
      </c>
      <c r="H10" s="23">
        <f t="shared" si="2"/>
        <v>320000</v>
      </c>
    </row>
    <row r="11" spans="1:8" x14ac:dyDescent="0.3">
      <c r="A11" s="2">
        <v>10</v>
      </c>
      <c r="B11" s="2" t="s">
        <v>16</v>
      </c>
      <c r="C11" s="3">
        <v>31926</v>
      </c>
      <c r="D11" s="2" t="s">
        <v>6</v>
      </c>
      <c r="E11" s="6">
        <v>1680000</v>
      </c>
      <c r="F11" s="8">
        <f t="shared" ca="1" si="0"/>
        <v>38</v>
      </c>
      <c r="G11" s="22">
        <f t="shared" si="1"/>
        <v>136000</v>
      </c>
      <c r="H11" s="24">
        <f t="shared" si="2"/>
        <v>1544000</v>
      </c>
    </row>
    <row r="14" spans="1:8" x14ac:dyDescent="0.3">
      <c r="C14" s="27" t="s">
        <v>19</v>
      </c>
      <c r="D14" s="27"/>
      <c r="E14" s="13">
        <f>COUNTIFS(G2:G11,"&gt;0",D2:D11,"Female")</f>
        <v>3</v>
      </c>
    </row>
    <row r="15" spans="1:8" x14ac:dyDescent="0.3">
      <c r="G15" s="4"/>
    </row>
    <row r="16" spans="1:8" x14ac:dyDescent="0.3">
      <c r="C16" s="27" t="s">
        <v>20</v>
      </c>
      <c r="D16" s="27"/>
      <c r="E16" s="13">
        <f>COUNTIFS(G2:G11,"0",D2:D11,"Male")</f>
        <v>1</v>
      </c>
    </row>
  </sheetData>
  <mergeCells count="2">
    <mergeCell ref="C14:D14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Sajju</dc:creator>
  <cp:lastModifiedBy>Sajju</cp:lastModifiedBy>
  <dcterms:created xsi:type="dcterms:W3CDTF">2015-06-05T18:17:20Z</dcterms:created>
  <dcterms:modified xsi:type="dcterms:W3CDTF">2025-12-22T07:04:37Z</dcterms:modified>
</cp:coreProperties>
</file>